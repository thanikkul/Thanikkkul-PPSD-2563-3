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ing\PPSD\Assignment 07\"/>
    </mc:Choice>
  </mc:AlternateContent>
  <xr:revisionPtr revIDLastSave="0" documentId="13_ncr:1_{AA3A318A-B661-4E48-B997-BF31024E8202}" xr6:coauthVersionLast="47" xr6:coauthVersionMax="47" xr10:uidLastSave="{00000000-0000-0000-0000-000000000000}"/>
  <bookViews>
    <workbookView xWindow="-120" yWindow="-120" windowWidth="29040" windowHeight="15840" firstSheet="1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4" l="1"/>
  <c r="K7" i="4"/>
  <c r="I7" i="4"/>
  <c r="D3" i="4"/>
  <c r="D4" i="4"/>
  <c r="D5" i="4"/>
  <c r="D2" i="4"/>
  <c r="E2" i="2" l="1"/>
  <c r="B6" i="4"/>
  <c r="E13" i="4" l="1"/>
  <c r="E12" i="4"/>
  <c r="E11" i="4"/>
  <c r="E10" i="4"/>
  <c r="E9" i="4"/>
  <c r="C6" i="4" l="1"/>
  <c r="D6" i="4"/>
  <c r="E2" i="4" s="1"/>
  <c r="E4" i="4" l="1"/>
  <c r="E5" i="4"/>
  <c r="E3" i="4"/>
  <c r="E5" i="2"/>
  <c r="E4" i="2"/>
  <c r="E3" i="2"/>
  <c r="K5" i="4"/>
  <c r="K4" i="4"/>
  <c r="K3" i="4"/>
  <c r="K2" i="4"/>
  <c r="J8" i="4"/>
  <c r="I8" i="4"/>
  <c r="E6" i="4" l="1"/>
  <c r="K8" i="4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<sst xmlns="http://schemas.openxmlformats.org/spreadsheetml/2006/main" count="106" uniqueCount="68">
  <si>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</si>
  <si>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</si>
  <si>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</si>
  <si>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</si>
  <si>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</si>
  <si>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</si>
  <si>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</si>
  <si>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</si>
  <si>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</si>
  <si>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</si>
  <si>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</si>
  <si>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</si>
  <si>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</si>
  <si>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</si>
  <si>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</si>
  <si>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</si>
  <si>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</si>
  <si>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</si>
  <si>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</si>
  <si>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</si>
  <si>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</si>
  <si>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</si>
  <si>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</si>
  <si>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</si>
  <si>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</si>
  <si>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</si>
  <si>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</si>
  <si>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</si>
  <si>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</si>
  <si>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</si>
  <si>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</si>
  <si>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</si>
  <si>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</si>
  <si>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</si>
  <si>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</si>
  <si>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</si>
  <si>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</si>
  <si>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</si>
  <si>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</si>
  <si>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</si>
  <si>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Program Size</t>
  </si>
  <si>
    <t>Base (B)</t>
  </si>
  <si>
    <t>Deleted (D)</t>
  </si>
  <si>
    <t>Modified (M)</t>
  </si>
  <si>
    <t>Added (A)</t>
  </si>
  <si>
    <t>Reused (R )</t>
  </si>
  <si>
    <t>Added + Modfied (A + M)</t>
  </si>
  <si>
    <t>#function</t>
  </si>
  <si>
    <t>A + M</t>
  </si>
  <si>
    <t>T</t>
  </si>
  <si>
    <t>#ยังไม่ต้อง</t>
  </si>
  <si>
    <t>Total Size (T) / (B+A)</t>
  </si>
  <si>
    <t>Plan how to write the program</t>
  </si>
  <si>
    <t>Design the program</t>
  </si>
  <si>
    <t>Write the code for the program</t>
  </si>
  <si>
    <t>Tests the program</t>
  </si>
  <si>
    <t>Check about Coding Standard</t>
  </si>
  <si>
    <t>Checking Count Standard</t>
  </si>
  <si>
    <t>Reflect</t>
  </si>
  <si>
    <t>Reflect on the process</t>
  </si>
  <si>
    <t>Thanikkul Promsree</t>
  </si>
  <si>
    <t>Python</t>
  </si>
  <si>
    <t>ใส่ตัวแปรผิด</t>
  </si>
  <si>
    <t>ใส่ตัวแปรที่ถูกต้อง</t>
  </si>
  <si>
    <t>ทดลองโปรแกรมต่อไป</t>
  </si>
  <si>
    <t>คำนวณทางคณิตศาสตร์</t>
  </si>
  <si>
    <t>ก่อนหน้า</t>
  </si>
  <si>
    <r>
      <t>อันเก่า</t>
    </r>
    <r>
      <rPr>
        <b/>
        <sz val="8"/>
        <color theme="1"/>
        <rFont val="Tahoma"/>
        <family val="2"/>
        <scheme val="major"/>
      </rPr>
      <t>(Program1+2+3+4)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</si>
</sst>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7" formatCode="_(* #,##0.00_);_(* \(#,##0.00\);_(* &quot;-&quot;??_);_(@_)"/>
    <numFmt numFmtId="188" formatCode="dd\ mm\ yyyy\ hh:mm:ss"/>
    <numFmt numFmtId="189" formatCode="dd\-mm\-yyyy\ hh:mm:ss"/>
    <numFmt numFmtId="190" formatCode="0.0"/>
    <numFmt numFmtId="191" formatCode="dd\ mmm\ yyyy"/>
    <numFmt numFmtId="192" formatCode="dd\ mmm\ yyyy\ hh:mm:ss"/>
  </numFmts>
  <fonts count="8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b/>
      <sz val="11"/>
      <color theme="1"/>
      <name val="Tahoma"/>
      <family val="2"/>
      <scheme val="major"/>
    </font>
    <font>
      <sz val="11"/>
      <color theme="1"/>
      <name val="Tahoma"/>
      <family val="2"/>
      <scheme val="major"/>
    </font>
    <font>
      <sz val="12"/>
      <color rgb="FF202124"/>
      <name val="Arial"/>
      <family val="2"/>
    </font>
    <font>
      <b/>
      <sz val="8"/>
      <color theme="1"/>
      <name val="Tahoma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8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7" borderId="2" applyNumberFormat="0" applyFont="0" applyAlignment="0" applyProtection="0"/>
  </cellStyleXfs>
  <cellXfs count="33">
    <xf numFmtId="0" fontId="0" fillId="0" borderId="0" xfId="0"/>
    <xf numFmtId="188" fontId="0" fillId="0" borderId="0" xfId="0" applyNumberFormat="1"/>
    <xf numFmtId="189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90" fontId="3" fillId="4" borderId="1" xfId="1" applyNumberFormat="1" applyFont="1" applyFill="1" applyBorder="1" applyAlignment="1">
      <alignment horizontal="center"/>
    </xf>
    <xf numFmtId="191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191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6" borderId="1" xfId="0" applyFill="1" applyBorder="1"/>
    <xf numFmtId="0" fontId="4" fillId="7" borderId="2" xfId="3" applyFont="1" applyAlignment="1">
      <alignment horizontal="center"/>
    </xf>
    <xf numFmtId="0" fontId="5" fillId="7" borderId="2" xfId="3" applyFont="1"/>
    <xf numFmtId="0" fontId="5" fillId="7" borderId="2" xfId="3" applyFont="1" applyAlignment="1">
      <alignment horizontal="right"/>
    </xf>
    <xf numFmtId="192" fontId="0" fillId="0" borderId="1" xfId="0" applyNumberFormat="1" applyBorder="1"/>
    <xf numFmtId="0" fontId="6" fillId="0" borderId="0" xfId="0" applyFont="1"/>
    <xf numFmtId="9" fontId="0" fillId="0" borderId="1" xfId="2" applyFont="1" applyBorder="1"/>
    <xf numFmtId="15" fontId="0" fillId="0" borderId="1" xfId="0" applyNumberForma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7" borderId="2" xfId="3" applyFont="1" applyAlignment="1">
      <alignment horizontal="center"/>
    </xf>
    <xf numFmtId="0" fontId="0" fillId="7" borderId="2" xfId="3" applyFont="1"/>
  </cellXfs>
  <cellStyles count="4">
    <cellStyle name="Comma" xfId="1" builtinId="3"/>
    <cellStyle name="Normal" xfId="0" builtinId="0"/>
    <cellStyle name="Note" xfId="3" builtinId="1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7" sqref="B7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60</v>
      </c>
    </row>
    <row r="2" spans="1:2" x14ac:dyDescent="0.2">
      <c r="A2" s="10" t="s">
        <v>16</v>
      </c>
      <c r="B2" s="28">
        <v>242732</v>
      </c>
    </row>
    <row r="3" spans="1:2" x14ac:dyDescent="0.2">
      <c r="A3" s="10" t="s">
        <v>17</v>
      </c>
      <c r="B3" s="5">
        <v>2</v>
      </c>
    </row>
    <row r="4" spans="1:2" x14ac:dyDescent="0.2">
      <c r="A4" s="10" t="s">
        <v>15</v>
      </c>
      <c r="B4" s="5" t="s">
        <v>65</v>
      </c>
    </row>
    <row r="5" spans="1:2" x14ac:dyDescent="0.2">
      <c r="A5" s="10" t="s">
        <v>18</v>
      </c>
      <c r="B5" s="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C26" sqref="C26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9"/>
      <c r="C1" s="30"/>
    </row>
    <row r="2" spans="1:3" x14ac:dyDescent="0.2">
      <c r="A2" s="10" t="s">
        <v>38</v>
      </c>
      <c r="B2" s="29"/>
      <c r="C2" s="30"/>
    </row>
    <row r="3" spans="1:3" x14ac:dyDescent="0.2">
      <c r="A3" s="10" t="s">
        <v>36</v>
      </c>
      <c r="B3" s="29"/>
      <c r="C3" s="30"/>
    </row>
    <row r="4" spans="1:3" x14ac:dyDescent="0.2">
      <c r="A4" s="10" t="s">
        <v>37</v>
      </c>
      <c r="B4" s="29"/>
      <c r="C4" s="30"/>
    </row>
    <row r="5" spans="1:3" x14ac:dyDescent="0.2">
      <c r="A5" s="19" t="s">
        <v>7</v>
      </c>
      <c r="B5" s="19" t="s">
        <v>39</v>
      </c>
      <c r="C5" s="19" t="s">
        <v>13</v>
      </c>
    </row>
    <row r="6" spans="1:3" x14ac:dyDescent="0.2">
      <c r="A6" s="5">
        <v>1</v>
      </c>
      <c r="B6" s="5" t="s">
        <v>25</v>
      </c>
      <c r="C6" s="5" t="s">
        <v>52</v>
      </c>
    </row>
    <row r="7" spans="1:3" x14ac:dyDescent="0.2">
      <c r="A7" s="5">
        <v>2</v>
      </c>
      <c r="B7" s="5" t="s">
        <v>21</v>
      </c>
      <c r="C7" s="5" t="s">
        <v>53</v>
      </c>
    </row>
    <row r="8" spans="1:3" x14ac:dyDescent="0.2">
      <c r="A8" s="5">
        <v>3</v>
      </c>
      <c r="B8" s="5" t="s">
        <v>22</v>
      </c>
      <c r="C8" s="5" t="s">
        <v>54</v>
      </c>
    </row>
    <row r="9" spans="1:3" x14ac:dyDescent="0.2">
      <c r="A9" s="5">
        <v>4</v>
      </c>
      <c r="B9" s="5" t="s">
        <v>23</v>
      </c>
      <c r="C9" s="5" t="s">
        <v>55</v>
      </c>
    </row>
    <row r="10" spans="1:3" x14ac:dyDescent="0.2">
      <c r="A10" s="5"/>
      <c r="B10" s="5"/>
      <c r="C10" s="5" t="s">
        <v>56</v>
      </c>
    </row>
    <row r="11" spans="1:3" x14ac:dyDescent="0.2">
      <c r="A11" s="5"/>
      <c r="B11" s="5"/>
      <c r="C11" s="5" t="s">
        <v>57</v>
      </c>
    </row>
    <row r="12" spans="1:3" x14ac:dyDescent="0.2">
      <c r="A12" s="5">
        <v>5</v>
      </c>
      <c r="B12" s="5" t="s">
        <v>58</v>
      </c>
      <c r="C12" s="5" t="s">
        <v>59</v>
      </c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E5" sqref="E3:E5"/>
    </sheetView>
  </sheetViews>
  <sheetFormatPr defaultRowHeight="14.25" x14ac:dyDescent="0.2"/>
  <cols>
    <col min="3" max="4" width="20" bestFit="1" customWidth="1"/>
    <col min="6" max="6" width="22.25" customWidth="1"/>
  </cols>
  <sheetData>
    <row r="1" spans="1:6" s="4" customFormat="1" x14ac:dyDescent="0.2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">
      <c r="A2" s="5" t="s">
        <v>25</v>
      </c>
      <c r="B2" s="5" t="s">
        <v>25</v>
      </c>
      <c r="C2" s="25">
        <v>44405.941689814812</v>
      </c>
      <c r="D2" s="25">
        <v>44405.943854166668</v>
      </c>
      <c r="E2" s="5">
        <f>IF(D2&gt;C2,(D2-C2)/OneMinute,"")</f>
        <v>3.1166666722856462</v>
      </c>
      <c r="F2" s="5"/>
    </row>
    <row r="3" spans="1:6" x14ac:dyDescent="0.2">
      <c r="A3" s="5" t="s">
        <v>21</v>
      </c>
      <c r="B3" s="5" t="s">
        <v>21</v>
      </c>
      <c r="C3" s="25">
        <v>44405.943854166668</v>
      </c>
      <c r="D3" s="25">
        <v>44405.946550925924</v>
      </c>
      <c r="E3" s="5">
        <f>IF(D3&gt;C3,(D3-C3)/OneMinute,"")</f>
        <v>3.8833333295769989</v>
      </c>
      <c r="F3" s="5"/>
    </row>
    <row r="4" spans="1:6" x14ac:dyDescent="0.2">
      <c r="A4" s="5" t="s">
        <v>22</v>
      </c>
      <c r="B4" s="5" t="s">
        <v>22</v>
      </c>
      <c r="C4" s="25">
        <v>44405.946550925924</v>
      </c>
      <c r="D4" s="25">
        <v>44405.997708333336</v>
      </c>
      <c r="E4" s="5">
        <f>IF(D4&gt;C4,(D4-C4)/OneMinute,"")</f>
        <v>73.666666672797874</v>
      </c>
      <c r="F4" s="5"/>
    </row>
    <row r="5" spans="1:6" x14ac:dyDescent="0.2">
      <c r="A5" s="5" t="s">
        <v>23</v>
      </c>
      <c r="B5" s="5" t="s">
        <v>23</v>
      </c>
      <c r="C5" s="25">
        <v>44405.997708333336</v>
      </c>
      <c r="D5" s="25">
        <v>44406.001574074071</v>
      </c>
      <c r="E5" s="5">
        <f>IF(D5&gt;C5,(D5-C5)/OneMinute,"")</f>
        <v>5.5666666582692415</v>
      </c>
      <c r="F5" s="5"/>
    </row>
    <row r="6" spans="1:6" x14ac:dyDescent="0.2">
      <c r="A6" s="5"/>
      <c r="B6" s="5"/>
      <c r="C6" s="5"/>
      <c r="D6" s="5"/>
      <c r="E6" s="5" t="str">
        <f t="shared" ref="E6:E33" si="0">IF(D6&gt;C6,(D6-C6)/OneMinute,"")</f>
        <v/>
      </c>
      <c r="F6" s="5"/>
    </row>
    <row r="7" spans="1:6" x14ac:dyDescent="0.2">
      <c r="A7" s="5"/>
      <c r="B7" s="5"/>
      <c r="C7" s="5"/>
      <c r="D7" s="5"/>
      <c r="E7" s="5" t="str">
        <f t="shared" si="0"/>
        <v/>
      </c>
      <c r="F7" s="5"/>
    </row>
    <row r="8" spans="1:6" x14ac:dyDescent="0.2">
      <c r="A8" s="5"/>
      <c r="B8" s="5"/>
      <c r="C8" s="5"/>
      <c r="D8" s="5"/>
      <c r="E8" s="5" t="str">
        <f t="shared" si="0"/>
        <v/>
      </c>
      <c r="F8" s="5"/>
    </row>
    <row r="9" spans="1:6" x14ac:dyDescent="0.2">
      <c r="A9" s="5"/>
      <c r="B9" s="5"/>
      <c r="C9" s="5"/>
      <c r="D9" s="5"/>
      <c r="E9" s="5" t="str">
        <f t="shared" si="0"/>
        <v/>
      </c>
      <c r="F9" s="5"/>
    </row>
    <row r="10" spans="1:6" x14ac:dyDescent="0.2">
      <c r="A10" s="5"/>
      <c r="B10" s="5"/>
      <c r="C10" s="5"/>
      <c r="D10" s="5"/>
      <c r="E10" s="5" t="str">
        <f t="shared" si="0"/>
        <v/>
      </c>
      <c r="F10" s="5"/>
    </row>
    <row r="11" spans="1:6" x14ac:dyDescent="0.2">
      <c r="A11" s="5"/>
      <c r="B11" s="5"/>
      <c r="C11" s="5"/>
      <c r="D11" s="5"/>
      <c r="E11" s="5" t="str">
        <f t="shared" si="0"/>
        <v/>
      </c>
      <c r="F11" s="5"/>
    </row>
    <row r="12" spans="1:6" x14ac:dyDescent="0.2">
      <c r="A12" s="5"/>
      <c r="B12" s="5"/>
      <c r="C12" s="5"/>
      <c r="D12" s="5"/>
      <c r="E12" s="5" t="str">
        <f t="shared" si="0"/>
        <v/>
      </c>
      <c r="F12" s="5"/>
    </row>
    <row r="13" spans="1:6" x14ac:dyDescent="0.2">
      <c r="A13" s="5"/>
      <c r="B13" s="5"/>
      <c r="C13" s="5"/>
      <c r="D13" s="5"/>
      <c r="E13" s="5" t="str">
        <f t="shared" si="0"/>
        <v/>
      </c>
      <c r="F13" s="5"/>
    </row>
    <row r="14" spans="1:6" x14ac:dyDescent="0.2">
      <c r="A14" s="5"/>
      <c r="B14" s="5"/>
      <c r="C14" s="5"/>
      <c r="D14" s="5"/>
      <c r="E14" s="5" t="str">
        <f t="shared" si="0"/>
        <v/>
      </c>
      <c r="F14" s="5"/>
    </row>
    <row r="15" spans="1:6" x14ac:dyDescent="0.2">
      <c r="A15" s="5"/>
      <c r="B15" s="5"/>
      <c r="C15" s="5"/>
      <c r="D15" s="5"/>
      <c r="E15" s="5" t="str">
        <f t="shared" si="0"/>
        <v/>
      </c>
      <c r="F15" s="5"/>
    </row>
    <row r="16" spans="1:6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si="0"/>
        <v/>
      </c>
      <c r="F31" s="5"/>
    </row>
    <row r="32" spans="1:6" x14ac:dyDescent="0.2">
      <c r="A32" s="5"/>
      <c r="B32" s="5"/>
      <c r="C32" s="5"/>
      <c r="D32" s="5"/>
      <c r="E32" s="5" t="str">
        <f t="shared" si="0"/>
        <v/>
      </c>
      <c r="F32" s="5"/>
    </row>
    <row r="33" spans="1:6" x14ac:dyDescent="0.2">
      <c r="A33" s="5"/>
      <c r="B33" s="5"/>
      <c r="C33" s="5"/>
      <c r="D33" s="5"/>
      <c r="E33" s="5" t="str">
        <f t="shared" si="0"/>
        <v/>
      </c>
      <c r="F33" s="5"/>
    </row>
    <row r="34" spans="1:6" x14ac:dyDescent="0.2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  <row r="48" spans="1:6" x14ac:dyDescent="0.2">
      <c r="A48" s="5"/>
      <c r="B48" s="5"/>
      <c r="C48" s="5"/>
      <c r="D48" s="5"/>
      <c r="E48" s="5" t="str">
        <f t="shared" si="1"/>
        <v/>
      </c>
      <c r="F48" s="5"/>
    </row>
    <row r="49" spans="1:6" x14ac:dyDescent="0.2">
      <c r="A49" s="5"/>
      <c r="B49" s="5"/>
      <c r="C49" s="5"/>
      <c r="D49" s="5"/>
      <c r="E49" s="5" t="str">
        <f t="shared" si="1"/>
        <v/>
      </c>
      <c r="F49" s="5"/>
    </row>
    <row r="50" spans="1:6" x14ac:dyDescent="0.2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L20"/>
  <sheetViews>
    <sheetView tabSelected="1" zoomScale="142" zoomScaleNormal="142" workbookViewId="0">
      <selection activeCell="L1" sqref="L1"/>
    </sheetView>
  </sheetViews>
  <sheetFormatPr defaultRowHeight="14.25" x14ac:dyDescent="0.2"/>
  <cols>
    <col min="1" max="1" width="15.625" style="8" bestFit="1" customWidth="1"/>
    <col min="5" max="5" width="14" customWidth="1"/>
    <col min="8" max="8" width="23.375" bestFit="1" customWidth="1"/>
    <col min="12" max="12" width="28.125" customWidth="1"/>
  </cols>
  <sheetData>
    <row r="1" spans="1:12" s="4" customFormat="1" x14ac:dyDescent="0.2">
      <c r="A1" s="6" t="s">
        <v>19</v>
      </c>
      <c r="B1" s="6" t="s">
        <v>25</v>
      </c>
      <c r="C1" s="6" t="s">
        <v>26</v>
      </c>
      <c r="D1" s="6" t="s">
        <v>27</v>
      </c>
      <c r="E1" s="6" t="s">
        <v>28</v>
      </c>
      <c r="F1" s="31" t="s">
        <v>66</v>
      </c>
      <c r="H1" s="6" t="s">
        <v>40</v>
      </c>
      <c r="I1" s="6" t="s">
        <v>25</v>
      </c>
      <c r="J1" s="6" t="s">
        <v>26</v>
      </c>
      <c r="K1" s="6" t="s">
        <v>27</v>
      </c>
      <c r="L1" s="22" t="s">
        <v>67</v>
      </c>
    </row>
    <row r="2" spans="1:12" ht="15" x14ac:dyDescent="0.2">
      <c r="A2" s="10" t="s">
        <v>20</v>
      </c>
      <c r="B2" s="5">
        <v>5</v>
      </c>
      <c r="C2" s="5">
        <v>3.1166666722856462</v>
      </c>
      <c r="D2" s="26">
        <f>C2+F2</f>
        <v>5.7833336722856465</v>
      </c>
      <c r="E2" s="5">
        <f>D2/$D$6%</f>
        <v>3.9820979796745957</v>
      </c>
      <c r="F2" s="32">
        <v>2.6666669999999999</v>
      </c>
      <c r="H2" s="5" t="s">
        <v>41</v>
      </c>
      <c r="I2" s="5">
        <v>0</v>
      </c>
      <c r="J2" s="5">
        <v>0</v>
      </c>
      <c r="K2" s="5">
        <f>L2+J2</f>
        <v>200</v>
      </c>
      <c r="L2" s="23">
        <v>200</v>
      </c>
    </row>
    <row r="3" spans="1:12" ht="15" x14ac:dyDescent="0.2">
      <c r="A3" s="10" t="s">
        <v>21</v>
      </c>
      <c r="B3" s="5">
        <v>5</v>
      </c>
      <c r="C3" s="5">
        <v>3.8833333295769989</v>
      </c>
      <c r="D3" s="26">
        <f t="shared" ref="D3:D5" si="0">C3+F3</f>
        <v>6.0500003295769993</v>
      </c>
      <c r="E3" s="5">
        <f>D3/$D$6%</f>
        <v>4.1657105494170574</v>
      </c>
      <c r="F3" s="32">
        <v>2.1666669999999999</v>
      </c>
      <c r="H3" s="5" t="s">
        <v>42</v>
      </c>
      <c r="I3" s="5">
        <v>0</v>
      </c>
      <c r="J3" s="5">
        <v>0</v>
      </c>
      <c r="K3" s="5">
        <f>L3+J3</f>
        <v>1</v>
      </c>
      <c r="L3" s="23">
        <v>1</v>
      </c>
    </row>
    <row r="4" spans="1:12" ht="15" x14ac:dyDescent="0.2">
      <c r="A4" s="10" t="s">
        <v>22</v>
      </c>
      <c r="B4" s="5">
        <v>90</v>
      </c>
      <c r="C4" s="5">
        <v>73.666666672797874</v>
      </c>
      <c r="D4" s="26">
        <f t="shared" si="0"/>
        <v>123.26666667279787</v>
      </c>
      <c r="E4" s="5">
        <f>D4/$D$6%</f>
        <v>84.87491335165798</v>
      </c>
      <c r="F4" s="32">
        <v>49.6</v>
      </c>
      <c r="H4" s="5" t="s">
        <v>43</v>
      </c>
      <c r="I4" s="5">
        <v>0</v>
      </c>
      <c r="J4" s="5">
        <v>0</v>
      </c>
      <c r="K4" s="5">
        <f>L4+J4</f>
        <v>35</v>
      </c>
      <c r="L4" s="23">
        <v>35</v>
      </c>
    </row>
    <row r="5" spans="1:12" ht="15" x14ac:dyDescent="0.2">
      <c r="A5" s="10" t="s">
        <v>23</v>
      </c>
      <c r="B5" s="5">
        <v>15</v>
      </c>
      <c r="C5" s="5">
        <v>5.5666666582692415</v>
      </c>
      <c r="D5" s="26">
        <f t="shared" si="0"/>
        <v>10.13333365826924</v>
      </c>
      <c r="E5" s="5">
        <f>D5/$D$6%</f>
        <v>6.9772781192503679</v>
      </c>
      <c r="F5" s="32">
        <v>4.5666669999999998</v>
      </c>
      <c r="H5" s="5" t="s">
        <v>44</v>
      </c>
      <c r="I5" s="5">
        <v>120</v>
      </c>
      <c r="J5" s="5">
        <v>106</v>
      </c>
      <c r="K5" s="5">
        <f>L5+J5</f>
        <v>212</v>
      </c>
      <c r="L5" s="23">
        <v>106</v>
      </c>
    </row>
    <row r="6" spans="1:12" x14ac:dyDescent="0.2">
      <c r="A6" s="11" t="s">
        <v>24</v>
      </c>
      <c r="B6" s="9">
        <f>SUM(B2:B5)</f>
        <v>115</v>
      </c>
      <c r="C6" s="5">
        <f>SUM(C2:C5)</f>
        <v>86.23333333292976</v>
      </c>
      <c r="D6" s="5">
        <f>SUM(D2:D5)</f>
        <v>145.23333433292976</v>
      </c>
      <c r="E6" s="5">
        <f>SUM(E2:E5)</f>
        <v>100</v>
      </c>
      <c r="H6" s="5" t="s">
        <v>45</v>
      </c>
      <c r="I6" s="5"/>
      <c r="J6" s="5"/>
      <c r="K6" s="5"/>
      <c r="L6" s="24" t="s">
        <v>50</v>
      </c>
    </row>
    <row r="7" spans="1:12" x14ac:dyDescent="0.2">
      <c r="H7" s="5" t="s">
        <v>46</v>
      </c>
      <c r="I7" s="21">
        <f>I5+I4</f>
        <v>120</v>
      </c>
      <c r="J7" s="21">
        <f t="shared" ref="J7:K7" si="1">J5+J4</f>
        <v>106</v>
      </c>
      <c r="K7" s="21">
        <f t="shared" si="1"/>
        <v>247</v>
      </c>
      <c r="L7" s="23">
        <v>131</v>
      </c>
    </row>
    <row r="8" spans="1:12" x14ac:dyDescent="0.2">
      <c r="A8" s="10" t="s">
        <v>30</v>
      </c>
      <c r="B8" s="7"/>
      <c r="C8" s="10" t="s">
        <v>26</v>
      </c>
      <c r="D8" s="10" t="s">
        <v>27</v>
      </c>
      <c r="E8" s="10" t="s">
        <v>28</v>
      </c>
      <c r="H8" s="5" t="s">
        <v>51</v>
      </c>
      <c r="I8" s="5">
        <f>I2+I5</f>
        <v>120</v>
      </c>
      <c r="J8" s="5">
        <f>J2+J5</f>
        <v>106</v>
      </c>
      <c r="K8" s="5">
        <f>K2+K5</f>
        <v>412</v>
      </c>
      <c r="L8" s="23"/>
    </row>
    <row r="9" spans="1:12" x14ac:dyDescent="0.2">
      <c r="A9" s="10" t="s">
        <v>20</v>
      </c>
      <c r="B9" s="5"/>
      <c r="C9" s="5">
        <v>0</v>
      </c>
      <c r="D9" s="5">
        <v>0</v>
      </c>
      <c r="E9" s="27">
        <f>D9/$D$13</f>
        <v>0</v>
      </c>
    </row>
    <row r="10" spans="1:12" x14ac:dyDescent="0.2">
      <c r="A10" s="10" t="s">
        <v>21</v>
      </c>
      <c r="B10" s="5"/>
      <c r="C10" s="5">
        <v>0</v>
      </c>
      <c r="D10" s="5">
        <v>0</v>
      </c>
      <c r="E10" s="27">
        <f>D10/$D$13</f>
        <v>0</v>
      </c>
    </row>
    <row r="11" spans="1:12" x14ac:dyDescent="0.2">
      <c r="A11" s="10" t="s">
        <v>22</v>
      </c>
      <c r="B11" s="5"/>
      <c r="C11" s="5">
        <v>0</v>
      </c>
      <c r="D11" s="5">
        <v>3.2</v>
      </c>
      <c r="E11" s="27">
        <f>D11/$D$13</f>
        <v>1</v>
      </c>
      <c r="H11" s="6" t="s">
        <v>15</v>
      </c>
      <c r="I11" s="6" t="s">
        <v>47</v>
      </c>
      <c r="J11" s="6" t="s">
        <v>48</v>
      </c>
      <c r="K11" s="6" t="s">
        <v>49</v>
      </c>
    </row>
    <row r="12" spans="1:12" x14ac:dyDescent="0.2">
      <c r="A12" s="10" t="s">
        <v>23</v>
      </c>
      <c r="B12" s="5"/>
      <c r="C12" s="5">
        <v>0</v>
      </c>
      <c r="D12" s="5">
        <v>0</v>
      </c>
      <c r="E12" s="27">
        <f>D12/$D$13</f>
        <v>0</v>
      </c>
      <c r="H12" s="5">
        <v>1</v>
      </c>
      <c r="I12" s="5">
        <v>3</v>
      </c>
      <c r="J12" s="5">
        <v>32</v>
      </c>
      <c r="K12" s="5">
        <v>0</v>
      </c>
    </row>
    <row r="13" spans="1:12" x14ac:dyDescent="0.2">
      <c r="A13" s="20" t="s">
        <v>24</v>
      </c>
      <c r="B13" s="5"/>
      <c r="C13" s="5">
        <v>0</v>
      </c>
      <c r="D13" s="5">
        <v>3.2</v>
      </c>
      <c r="E13" s="27">
        <f>D13/$D$13</f>
        <v>1</v>
      </c>
      <c r="H13" s="5">
        <v>2</v>
      </c>
      <c r="I13" s="5">
        <v>5</v>
      </c>
      <c r="J13" s="5">
        <v>45</v>
      </c>
      <c r="K13" s="5">
        <v>66</v>
      </c>
    </row>
    <row r="14" spans="1:12" x14ac:dyDescent="0.2">
      <c r="H14" s="5">
        <v>3</v>
      </c>
      <c r="I14" s="5">
        <v>5</v>
      </c>
      <c r="J14" s="5">
        <v>22</v>
      </c>
      <c r="K14" s="5">
        <v>85</v>
      </c>
    </row>
    <row r="15" spans="1:12" x14ac:dyDescent="0.2">
      <c r="A15" s="10" t="s">
        <v>29</v>
      </c>
      <c r="B15" s="7"/>
      <c r="C15" s="10" t="s">
        <v>26</v>
      </c>
      <c r="D15" s="10" t="s">
        <v>27</v>
      </c>
      <c r="E15" s="10" t="s">
        <v>28</v>
      </c>
      <c r="H15" s="5">
        <v>4</v>
      </c>
      <c r="I15" s="5">
        <v>6</v>
      </c>
      <c r="J15" s="5">
        <v>42</v>
      </c>
      <c r="K15" s="5">
        <v>115</v>
      </c>
    </row>
    <row r="16" spans="1:12" x14ac:dyDescent="0.2">
      <c r="A16" s="10" t="s">
        <v>20</v>
      </c>
      <c r="B16" s="5">
        <v>0</v>
      </c>
      <c r="C16" s="5">
        <v>0</v>
      </c>
      <c r="D16" s="5">
        <v>0</v>
      </c>
      <c r="E16" s="5">
        <v>0</v>
      </c>
      <c r="H16" s="5">
        <v>5</v>
      </c>
      <c r="I16" s="5">
        <v>6</v>
      </c>
      <c r="J16" s="5">
        <v>106</v>
      </c>
      <c r="K16" s="5">
        <v>106</v>
      </c>
    </row>
    <row r="17" spans="1:11" x14ac:dyDescent="0.2">
      <c r="A17" s="10" t="s">
        <v>21</v>
      </c>
      <c r="B17" s="5">
        <v>0</v>
      </c>
      <c r="C17" s="5">
        <v>0</v>
      </c>
      <c r="D17" s="5">
        <v>0</v>
      </c>
      <c r="E17" s="5">
        <v>0</v>
      </c>
      <c r="H17" s="5"/>
      <c r="I17" s="5"/>
      <c r="J17" s="5"/>
      <c r="K17" s="5"/>
    </row>
    <row r="18" spans="1:11" x14ac:dyDescent="0.2">
      <c r="A18" s="10" t="s">
        <v>22</v>
      </c>
      <c r="B18" s="5">
        <v>0</v>
      </c>
      <c r="C18" s="5">
        <v>0</v>
      </c>
      <c r="D18" s="5">
        <v>0</v>
      </c>
      <c r="E18" s="5">
        <v>0</v>
      </c>
    </row>
    <row r="19" spans="1:11" x14ac:dyDescent="0.2">
      <c r="A19" s="10" t="s">
        <v>23</v>
      </c>
      <c r="B19" s="5">
        <v>0</v>
      </c>
      <c r="C19" s="5">
        <v>0</v>
      </c>
      <c r="D19" s="5">
        <v>0</v>
      </c>
      <c r="E19" s="5">
        <v>0</v>
      </c>
    </row>
    <row r="20" spans="1:11" x14ac:dyDescent="0.2">
      <c r="A20" s="20" t="s">
        <v>24</v>
      </c>
      <c r="B20" s="5">
        <v>0</v>
      </c>
      <c r="C20" s="5">
        <v>0</v>
      </c>
      <c r="D20" s="5">
        <v>0</v>
      </c>
      <c r="E20" s="5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">
      <c r="A2" s="5"/>
      <c r="B2" s="5"/>
      <c r="C2" s="5"/>
      <c r="D2" s="5"/>
      <c r="E2" s="5"/>
      <c r="F2" s="5"/>
      <c r="G2" s="5"/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C9" sqref="C9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8" customFormat="1" x14ac:dyDescent="0.2">
      <c r="A1" s="10" t="s">
        <v>31</v>
      </c>
      <c r="B1" s="10" t="s">
        <v>32</v>
      </c>
      <c r="C1" s="10" t="s">
        <v>33</v>
      </c>
      <c r="D1" s="10" t="s">
        <v>6</v>
      </c>
    </row>
    <row r="2" spans="1:4" x14ac:dyDescent="0.2">
      <c r="A2" s="5">
        <v>1</v>
      </c>
      <c r="B2" s="5" t="s">
        <v>62</v>
      </c>
      <c r="C2" s="5" t="s">
        <v>63</v>
      </c>
      <c r="D2" s="5" t="s">
        <v>64</v>
      </c>
    </row>
    <row r="3" spans="1:4" x14ac:dyDescent="0.2">
      <c r="A3" s="12"/>
      <c r="B3" s="12"/>
      <c r="C3" s="12"/>
      <c r="D3" s="12"/>
    </row>
    <row r="4" spans="1:4" x14ac:dyDescent="0.2">
      <c r="A4" s="12"/>
      <c r="B4" s="12"/>
      <c r="C4" s="12"/>
      <c r="D4" s="12"/>
    </row>
    <row r="5" spans="1:4" x14ac:dyDescent="0.2">
      <c r="A5" s="12"/>
      <c r="B5" s="12"/>
      <c r="C5" s="12"/>
      <c r="D5" s="12"/>
    </row>
    <row r="6" spans="1:4" x14ac:dyDescent="0.2">
      <c r="A6" s="12"/>
      <c r="B6" s="12"/>
      <c r="C6" s="12"/>
      <c r="D6" s="12"/>
    </row>
    <row r="7" spans="1:4" x14ac:dyDescent="0.2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3" t="s">
        <v>34</v>
      </c>
      <c r="B1" s="14" t="s">
        <v>16</v>
      </c>
      <c r="C1" s="15" t="s">
        <v>13</v>
      </c>
    </row>
    <row r="2" spans="1:3" x14ac:dyDescent="0.2">
      <c r="A2" s="16">
        <v>1</v>
      </c>
      <c r="B2" s="17">
        <v>44008</v>
      </c>
      <c r="C2" s="1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thanikkul Promsree</cp:lastModifiedBy>
  <dcterms:created xsi:type="dcterms:W3CDTF">2020-06-24T14:08:00Z</dcterms:created>
  <dcterms:modified xsi:type="dcterms:W3CDTF">2021-07-29T05:32:02Z</dcterms:modified>
</cp:coreProperties>
</file>