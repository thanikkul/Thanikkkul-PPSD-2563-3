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PSD\Assignment 02\"/>
    </mc:Choice>
  </mc:AlternateContent>
  <xr:revisionPtr revIDLastSave="0" documentId="8_{93E62753-BFEE-4516-B9E0-C532256E9790}" xr6:coauthVersionLast="46" xr6:coauthVersionMax="46" xr10:uidLastSave="{00000000-0000-0000-0000-000000000000}"/>
  <bookViews>
    <workbookView xWindow="-120" yWindow="-120" windowWidth="29040" windowHeight="15840" firstSheet="1" activeTab="3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4" l="1"/>
  <c r="F12" i="4"/>
  <c r="F13" i="4"/>
  <c r="F15" i="4" s="1"/>
  <c r="F14" i="4"/>
  <c r="F10" i="4"/>
  <c r="E15" i="4"/>
  <c r="D15" i="4"/>
  <c r="D7" i="4"/>
  <c r="E3" i="4"/>
  <c r="E4" i="4"/>
  <c r="E5" i="4"/>
  <c r="E2" i="4"/>
  <c r="E3" i="2" l="1"/>
  <c r="E4" i="2"/>
  <c r="E5" i="2"/>
  <c r="C7" i="4"/>
  <c r="E7" i="4"/>
  <c r="F2" i="4" s="1"/>
  <c r="B7" i="4"/>
  <c r="E2" i="2"/>
  <c r="A2" i="4"/>
  <c r="A10" i="4" s="1"/>
  <c r="A18" i="4" s="1"/>
  <c r="A3" i="4"/>
  <c r="A11" i="4" s="1"/>
  <c r="A19" i="4" s="1"/>
  <c r="A4" i="4"/>
  <c r="A12" i="4" s="1"/>
  <c r="A20" i="4" s="1"/>
  <c r="A5" i="4"/>
  <c r="A13" i="4" s="1"/>
  <c r="A21" i="4" s="1"/>
  <c r="A6" i="4"/>
  <c r="A14" i="4" s="1"/>
  <c r="A22" i="4" s="1"/>
  <c r="F5" i="4" l="1"/>
  <c r="F3" i="4"/>
  <c r="F7" i="4" s="1"/>
  <c r="F4" i="4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</calcChain>
</file>

<file path=xl/sharedStrings.xml><?xml version="1.0" encoding="utf-8"?>
<sst xmlns="http://schemas.openxmlformats.org/spreadsheetml/2006/main" count="85" uniqueCount="58">
  <si>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</si>
  <si>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</si>
  <si>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</si>
  <si>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</si>
  <si>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</si>
  <si>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</si>
  <si>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</si>
  <si>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</si>
  <si>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</si>
  <si>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</si>
  <si>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</si>
  <si>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</si>
  <si>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</si>
  <si>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</si>
  <si>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</si>
  <si>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</si>
  <si>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</si>
  <si>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</si>
  <si>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</si>
  <si>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</si>
  <si>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Design</t>
  </si>
  <si>
    <t>Code</t>
  </si>
  <si>
    <t>Test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</si>
  <si>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</si>
  <si>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</si>
  <si>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</si>
  <si>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</si>
  <si>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</si>
  <si>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</si>
  <si>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</si>
  <si>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</si>
  <si>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</si>
  <si>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</si>
  <si>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</si>
  <si>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</si>
  <si>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</si>
  <si>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</si>
  <si>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</si>
  <si>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</si>
  <si>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Thanikkul Promsree</t>
  </si>
  <si>
    <t>บันทึกไฟล์ และ อ่านข้อมูลจากไฟล์</t>
  </si>
  <si>
    <t>Python</t>
  </si>
  <si>
    <t>Software Development Process</t>
  </si>
  <si>
    <t>Write a small program</t>
  </si>
  <si>
    <t>Requirements are available</t>
  </si>
  <si>
    <t>Program passed all the tests</t>
  </si>
  <si>
    <t>Plan how to write the program</t>
  </si>
  <si>
    <t>Design the program</t>
  </si>
  <si>
    <t>Write the code for the program</t>
  </si>
  <si>
    <t>Tests the program</t>
  </si>
  <si>
    <t>Reflect</t>
  </si>
  <si>
    <t>Reflect on the process</t>
  </si>
  <si>
    <t>ใส่ตัวแปรผิด</t>
  </si>
  <si>
    <t>ใส่ตัวแปรที่ถูกต้อง</t>
  </si>
  <si>
    <t>ทดลองโปรแกรมต่อไป</t>
  </si>
  <si>
    <t>28 เม.ย. 2564</t>
  </si>
  <si>
    <t>Program ก่อนหน้า</t>
  </si>
  <si>
    <t>Previous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</si>
</sst>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87" formatCode="dd\ mm\ yyyy\ hh:mm:ss"/>
    <numFmt numFmtId="188" formatCode="dd\-mm\-yyyy\ hh:mm:ss"/>
    <numFmt numFmtId="189" formatCode="0.0"/>
    <numFmt numFmtId="190" formatCode="dd\ mmm\ yyyy"/>
    <numFmt numFmtId="191" formatCode="dd\ mmm\ yyyy\ hh:mm:ss"/>
  </numFmts>
  <fonts count="6" x14ac:knownFonts="1"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0"/>
      <name val="Arial"/>
      <family val="2"/>
    </font>
    <font>
      <sz val="11"/>
      <color rgb="FF9C5700"/>
      <name val="Tahoma"/>
      <family val="2"/>
      <scheme val="minor"/>
    </font>
    <font>
      <b/>
      <sz val="11"/>
      <color rgb="FFFA7D00"/>
      <name val="Tahoma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2" fillId="6" borderId="0" applyNumberFormat="0" applyBorder="0" applyAlignment="0" applyProtection="0"/>
    <xf numFmtId="9" fontId="2" fillId="0" borderId="0" applyFont="0" applyFill="0" applyBorder="0" applyAlignment="0" applyProtection="0"/>
    <xf numFmtId="0" fontId="4" fillId="7" borderId="0" applyNumberFormat="0" applyBorder="0" applyAlignment="0" applyProtection="0"/>
    <xf numFmtId="0" fontId="5" fillId="8" borderId="2" applyNumberFormat="0" applyAlignment="0" applyProtection="0"/>
  </cellStyleXfs>
  <cellXfs count="29">
    <xf numFmtId="0" fontId="0" fillId="0" borderId="0" xfId="0"/>
    <xf numFmtId="187" fontId="0" fillId="0" borderId="0" xfId="0" applyNumberFormat="1"/>
    <xf numFmtId="188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188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Fill="1" applyBorder="1"/>
    <xf numFmtId="189" fontId="3" fillId="3" borderId="1" xfId="1" applyNumberFormat="1" applyFont="1" applyFill="1" applyBorder="1" applyAlignment="1">
      <alignment horizontal="center"/>
    </xf>
    <xf numFmtId="190" fontId="3" fillId="3" borderId="1" xfId="1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89" fontId="0" fillId="4" borderId="1" xfId="1" applyNumberFormat="1" applyFont="1" applyFill="1" applyBorder="1" applyAlignment="1">
      <alignment horizontal="center"/>
    </xf>
    <xf numFmtId="190" fontId="0" fillId="4" borderId="1" xfId="1" applyNumberFormat="1" applyFont="1" applyFill="1" applyBorder="1" applyAlignment="1">
      <alignment horizontal="center"/>
    </xf>
    <xf numFmtId="0" fontId="0" fillId="4" borderId="1" xfId="0" applyFill="1" applyBorder="1"/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191" fontId="0" fillId="0" borderId="1" xfId="0" applyNumberFormat="1" applyBorder="1"/>
    <xf numFmtId="0" fontId="2" fillId="6" borderId="3" xfId="2" applyBorder="1"/>
    <xf numFmtId="9" fontId="0" fillId="0" borderId="1" xfId="3" applyFont="1" applyBorder="1"/>
    <xf numFmtId="0" fontId="1" fillId="2" borderId="4" xfId="0" applyFont="1" applyFill="1" applyBorder="1" applyAlignment="1">
      <alignment horizontal="center"/>
    </xf>
    <xf numFmtId="0" fontId="0" fillId="0" borderId="5" xfId="0" applyBorder="1"/>
    <xf numFmtId="0" fontId="0" fillId="0" borderId="6" xfId="0" applyFill="1" applyBorder="1"/>
    <xf numFmtId="0" fontId="4" fillId="7" borderId="0" xfId="4"/>
    <xf numFmtId="0" fontId="5" fillId="8" borderId="2" xfId="5" applyAlignment="1">
      <alignment horizontal="center"/>
    </xf>
  </cellXfs>
  <cellStyles count="6">
    <cellStyle name="20% - ส่วนที่ถูกเน้น1" xfId="2" builtinId="30"/>
    <cellStyle name="เปอร์เซ็นต์" xfId="3" builtinId="5"/>
    <cellStyle name="การคำนวณ" xfId="5" builtinId="22"/>
    <cellStyle name="จุลภาค" xfId="1" builtinId="3"/>
    <cellStyle name="ปกติ" xfId="0" builtinId="0"/>
    <cellStyle name="ปานกลาง" xfId="4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2" sqref="B2"/>
    </sheetView>
  </sheetViews>
  <sheetFormatPr defaultRowHeight="14.25" x14ac:dyDescent="0.2"/>
  <cols>
    <col min="1" max="1" width="9.875" bestFit="1" customWidth="1"/>
    <col min="2" max="2" width="64" customWidth="1"/>
  </cols>
  <sheetData>
    <row r="1" spans="1:2" x14ac:dyDescent="0.2">
      <c r="A1" s="10" t="s">
        <v>14</v>
      </c>
      <c r="B1" s="5" t="s">
        <v>39</v>
      </c>
    </row>
    <row r="2" spans="1:2" x14ac:dyDescent="0.2">
      <c r="A2" s="10" t="s">
        <v>16</v>
      </c>
      <c r="B2" s="5" t="s">
        <v>55</v>
      </c>
    </row>
    <row r="3" spans="1:2" x14ac:dyDescent="0.2">
      <c r="A3" s="10" t="s">
        <v>17</v>
      </c>
      <c r="B3" s="5">
        <v>1</v>
      </c>
    </row>
    <row r="4" spans="1:2" x14ac:dyDescent="0.2">
      <c r="A4" s="10" t="s">
        <v>15</v>
      </c>
      <c r="B4" s="5" t="s">
        <v>40</v>
      </c>
    </row>
    <row r="5" spans="1:2" x14ac:dyDescent="0.2">
      <c r="A5" s="10" t="s">
        <v>18</v>
      </c>
      <c r="B5" s="5" t="s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C13"/>
  <sheetViews>
    <sheetView workbookViewId="0">
      <selection activeCell="C10" sqref="C10"/>
    </sheetView>
  </sheetViews>
  <sheetFormatPr defaultRowHeight="14.25" x14ac:dyDescent="0.2"/>
  <cols>
    <col min="1" max="1" width="12.625" bestFit="1" customWidth="1"/>
    <col min="2" max="2" width="15.125" customWidth="1"/>
    <col min="3" max="3" width="45.25" customWidth="1"/>
  </cols>
  <sheetData>
    <row r="1" spans="1:3" x14ac:dyDescent="0.2">
      <c r="A1" s="10" t="s">
        <v>14</v>
      </c>
      <c r="B1" s="20" t="s">
        <v>42</v>
      </c>
      <c r="C1" s="20"/>
    </row>
    <row r="2" spans="1:3" x14ac:dyDescent="0.2">
      <c r="A2" s="10" t="s">
        <v>37</v>
      </c>
      <c r="B2" s="20" t="s">
        <v>43</v>
      </c>
      <c r="C2" s="20"/>
    </row>
    <row r="3" spans="1:3" x14ac:dyDescent="0.2">
      <c r="A3" s="10" t="s">
        <v>35</v>
      </c>
      <c r="B3" s="20" t="s">
        <v>44</v>
      </c>
      <c r="C3" s="20"/>
    </row>
    <row r="4" spans="1:3" x14ac:dyDescent="0.2">
      <c r="A4" s="10" t="s">
        <v>36</v>
      </c>
      <c r="B4" s="20" t="s">
        <v>45</v>
      </c>
      <c r="C4" s="20"/>
    </row>
    <row r="5" spans="1:3" x14ac:dyDescent="0.2">
      <c r="A5" s="18" t="s">
        <v>7</v>
      </c>
      <c r="B5" s="18" t="s">
        <v>38</v>
      </c>
      <c r="C5" s="18" t="s">
        <v>13</v>
      </c>
    </row>
    <row r="6" spans="1:3" x14ac:dyDescent="0.2">
      <c r="A6" s="5">
        <v>1</v>
      </c>
      <c r="B6" s="5" t="s">
        <v>24</v>
      </c>
      <c r="C6" s="5" t="s">
        <v>46</v>
      </c>
    </row>
    <row r="7" spans="1:3" x14ac:dyDescent="0.2">
      <c r="A7" s="5">
        <v>2</v>
      </c>
      <c r="B7" s="5" t="s">
        <v>20</v>
      </c>
      <c r="C7" s="5" t="s">
        <v>47</v>
      </c>
    </row>
    <row r="8" spans="1:3" x14ac:dyDescent="0.2">
      <c r="A8" s="5">
        <v>3</v>
      </c>
      <c r="B8" s="5" t="s">
        <v>21</v>
      </c>
      <c r="C8" s="5" t="s">
        <v>48</v>
      </c>
    </row>
    <row r="9" spans="1:3" x14ac:dyDescent="0.2">
      <c r="A9" s="5">
        <v>4</v>
      </c>
      <c r="B9" s="5" t="s">
        <v>22</v>
      </c>
      <c r="C9" s="5" t="s">
        <v>49</v>
      </c>
    </row>
    <row r="10" spans="1:3" x14ac:dyDescent="0.2">
      <c r="A10" s="5">
        <v>5</v>
      </c>
      <c r="B10" s="5" t="s">
        <v>50</v>
      </c>
      <c r="C10" s="5" t="s">
        <v>51</v>
      </c>
    </row>
    <row r="11" spans="1:3" x14ac:dyDescent="0.2">
      <c r="A11" s="5"/>
      <c r="B11" s="5"/>
      <c r="C11" s="5"/>
    </row>
    <row r="12" spans="1:3" x14ac:dyDescent="0.2">
      <c r="A12" s="5"/>
      <c r="B12" s="5"/>
      <c r="C12" s="5"/>
    </row>
    <row r="13" spans="1:3" x14ac:dyDescent="0.2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H47"/>
  <sheetViews>
    <sheetView workbookViewId="0">
      <selection activeCell="C39" sqref="C39"/>
    </sheetView>
  </sheetViews>
  <sheetFormatPr defaultRowHeight="14.25" x14ac:dyDescent="0.2"/>
  <cols>
    <col min="3" max="3" width="19.75" bestFit="1" customWidth="1"/>
    <col min="4" max="4" width="20.125" customWidth="1"/>
    <col min="6" max="6" width="22.25" customWidth="1"/>
  </cols>
  <sheetData>
    <row r="1" spans="1:8" s="4" customFormat="1" x14ac:dyDescent="0.2">
      <c r="A1" s="7" t="s">
        <v>1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</row>
    <row r="2" spans="1:8" x14ac:dyDescent="0.2">
      <c r="A2" s="5" t="s">
        <v>24</v>
      </c>
      <c r="B2" s="5" t="s">
        <v>24</v>
      </c>
      <c r="C2" s="21">
        <v>44322.750023148146</v>
      </c>
      <c r="D2" s="21">
        <v>44322.750891203701</v>
      </c>
      <c r="E2" s="5">
        <f>IF(D2&gt;C2,(D2-C2)/OneMinute,"")</f>
        <v>1.2499999988358468</v>
      </c>
      <c r="F2" s="5"/>
    </row>
    <row r="3" spans="1:8" x14ac:dyDescent="0.2">
      <c r="A3" s="5" t="s">
        <v>20</v>
      </c>
      <c r="B3" s="5" t="s">
        <v>20</v>
      </c>
      <c r="C3" s="21">
        <v>44322.750891203701</v>
      </c>
      <c r="D3" s="21">
        <v>44322.751840277779</v>
      </c>
      <c r="E3" s="5">
        <f>IF(D3&gt;C3,(D3-C3)/OneMinute,"")</f>
        <v>1.3666666718199849</v>
      </c>
      <c r="F3" s="5"/>
    </row>
    <row r="4" spans="1:8" x14ac:dyDescent="0.2">
      <c r="A4" s="5" t="s">
        <v>21</v>
      </c>
      <c r="B4" s="5" t="s">
        <v>21</v>
      </c>
      <c r="C4" s="21">
        <v>44322.751875000002</v>
      </c>
      <c r="D4" s="21">
        <v>44322.77144675926</v>
      </c>
      <c r="E4" s="5">
        <f>IF(D4&gt;C4,(D4-C4)/OneMinute,"")</f>
        <v>28.18333333125338</v>
      </c>
      <c r="F4" s="5"/>
    </row>
    <row r="5" spans="1:8" x14ac:dyDescent="0.2">
      <c r="A5" s="5" t="s">
        <v>22</v>
      </c>
      <c r="B5" s="5" t="s">
        <v>22</v>
      </c>
      <c r="C5" s="21">
        <v>44322.771469907406</v>
      </c>
      <c r="D5" s="21">
        <v>44322.772361111114</v>
      </c>
      <c r="E5" s="5">
        <f>IF(D5&gt;C5,(D5-C5)/OneMinute,"")</f>
        <v>1.2833333399612457</v>
      </c>
      <c r="F5" s="5"/>
      <c r="H5" s="5" t="s">
        <v>20</v>
      </c>
    </row>
    <row r="6" spans="1:8" x14ac:dyDescent="0.2">
      <c r="A6" s="5"/>
      <c r="B6" s="5"/>
      <c r="C6" s="6"/>
      <c r="D6" s="6"/>
      <c r="E6" s="5" t="str">
        <f t="shared" ref="E4:E30" si="0">IF(D6&gt;C6,(D6-C6)/OneMinute,"")</f>
        <v/>
      </c>
      <c r="F6" s="5"/>
      <c r="H6" s="5" t="s">
        <v>50</v>
      </c>
    </row>
    <row r="7" spans="1:8" x14ac:dyDescent="0.2">
      <c r="A7" s="5"/>
      <c r="B7" s="5"/>
      <c r="C7" s="6"/>
      <c r="D7" s="6"/>
      <c r="E7" s="5" t="str">
        <f t="shared" si="0"/>
        <v/>
      </c>
      <c r="F7" s="5"/>
    </row>
    <row r="8" spans="1:8" x14ac:dyDescent="0.2">
      <c r="A8" s="5"/>
      <c r="B8" s="5"/>
      <c r="C8" s="6"/>
      <c r="D8" s="6"/>
      <c r="E8" s="5" t="str">
        <f t="shared" si="0"/>
        <v/>
      </c>
      <c r="F8" s="5"/>
    </row>
    <row r="9" spans="1:8" x14ac:dyDescent="0.2">
      <c r="A9" s="5"/>
      <c r="B9" s="5"/>
      <c r="C9" s="6"/>
      <c r="D9" s="6"/>
      <c r="E9" s="5" t="str">
        <f t="shared" si="0"/>
        <v/>
      </c>
      <c r="F9" s="5"/>
    </row>
    <row r="10" spans="1:8" x14ac:dyDescent="0.2">
      <c r="A10" s="5"/>
      <c r="B10" s="5"/>
      <c r="C10" s="5"/>
      <c r="D10" s="5"/>
      <c r="E10" s="5" t="str">
        <f t="shared" si="0"/>
        <v/>
      </c>
      <c r="F10" s="5"/>
    </row>
    <row r="11" spans="1:8" x14ac:dyDescent="0.2">
      <c r="A11" s="5"/>
      <c r="B11" s="5"/>
      <c r="C11" s="5"/>
      <c r="D11" s="5"/>
      <c r="E11" s="5" t="str">
        <f t="shared" si="0"/>
        <v/>
      </c>
      <c r="F11" s="5"/>
    </row>
    <row r="12" spans="1:8" x14ac:dyDescent="0.2">
      <c r="A12" s="5"/>
      <c r="B12" s="5"/>
      <c r="C12" s="5"/>
      <c r="D12" s="5"/>
      <c r="E12" s="5" t="str">
        <f t="shared" si="0"/>
        <v/>
      </c>
      <c r="F12" s="5"/>
    </row>
    <row r="13" spans="1:8" x14ac:dyDescent="0.2">
      <c r="A13" s="5"/>
      <c r="B13" s="5"/>
      <c r="C13" s="5"/>
      <c r="D13" s="5"/>
      <c r="E13" s="5" t="str">
        <f t="shared" si="0"/>
        <v/>
      </c>
      <c r="F13" s="5"/>
    </row>
    <row r="14" spans="1:8" x14ac:dyDescent="0.2">
      <c r="A14" s="5"/>
      <c r="B14" s="5"/>
      <c r="C14" s="5"/>
      <c r="D14" s="5"/>
      <c r="E14" s="5" t="str">
        <f t="shared" si="0"/>
        <v/>
      </c>
      <c r="F14" s="5"/>
    </row>
    <row r="15" spans="1:8" x14ac:dyDescent="0.2">
      <c r="A15" s="5"/>
      <c r="B15" s="5"/>
      <c r="C15" s="5"/>
      <c r="D15" s="5"/>
      <c r="E15" s="5" t="str">
        <f t="shared" si="0"/>
        <v/>
      </c>
      <c r="F15" s="5"/>
    </row>
    <row r="16" spans="1:8" x14ac:dyDescent="0.2">
      <c r="A16" s="5"/>
      <c r="B16" s="5"/>
      <c r="C16" s="5"/>
      <c r="D16" s="5"/>
      <c r="E16" s="5" t="str">
        <f t="shared" si="0"/>
        <v/>
      </c>
      <c r="F16" s="5"/>
    </row>
    <row r="17" spans="1:6" x14ac:dyDescent="0.2">
      <c r="A17" s="5"/>
      <c r="B17" s="5"/>
      <c r="C17" s="5"/>
      <c r="D17" s="5"/>
      <c r="E17" s="5" t="str">
        <f t="shared" si="0"/>
        <v/>
      </c>
      <c r="F17" s="5"/>
    </row>
    <row r="18" spans="1:6" x14ac:dyDescent="0.2">
      <c r="A18" s="5"/>
      <c r="B18" s="5"/>
      <c r="C18" s="5"/>
      <c r="D18" s="5"/>
      <c r="E18" s="5" t="str">
        <f t="shared" si="0"/>
        <v/>
      </c>
      <c r="F18" s="5"/>
    </row>
    <row r="19" spans="1:6" x14ac:dyDescent="0.2">
      <c r="A19" s="5"/>
      <c r="B19" s="5"/>
      <c r="C19" s="5"/>
      <c r="D19" s="5"/>
      <c r="E19" s="5" t="str">
        <f t="shared" si="0"/>
        <v/>
      </c>
      <c r="F19" s="5"/>
    </row>
    <row r="20" spans="1:6" x14ac:dyDescent="0.2">
      <c r="A20" s="5"/>
      <c r="B20" s="5"/>
      <c r="C20" s="5"/>
      <c r="D20" s="5"/>
      <c r="E20" s="5" t="str">
        <f t="shared" si="0"/>
        <v/>
      </c>
      <c r="F20" s="5"/>
    </row>
    <row r="21" spans="1:6" x14ac:dyDescent="0.2">
      <c r="A21" s="5"/>
      <c r="B21" s="5"/>
      <c r="C21" s="5"/>
      <c r="D21" s="5"/>
      <c r="E21" s="5" t="str">
        <f t="shared" si="0"/>
        <v/>
      </c>
      <c r="F21" s="5"/>
    </row>
    <row r="22" spans="1:6" x14ac:dyDescent="0.2">
      <c r="A22" s="5"/>
      <c r="B22" s="5"/>
      <c r="C22" s="5"/>
      <c r="D22" s="5"/>
      <c r="E22" s="5" t="str">
        <f t="shared" si="0"/>
        <v/>
      </c>
      <c r="F22" s="5"/>
    </row>
    <row r="23" spans="1:6" x14ac:dyDescent="0.2">
      <c r="A23" s="5"/>
      <c r="B23" s="5"/>
      <c r="C23" s="5"/>
      <c r="D23" s="5"/>
      <c r="E23" s="5" t="str">
        <f t="shared" si="0"/>
        <v/>
      </c>
      <c r="F23" s="5"/>
    </row>
    <row r="24" spans="1:6" x14ac:dyDescent="0.2">
      <c r="A24" s="5"/>
      <c r="B24" s="5"/>
      <c r="C24" s="5"/>
      <c r="D24" s="5"/>
      <c r="E24" s="5" t="str">
        <f t="shared" si="0"/>
        <v/>
      </c>
      <c r="F24" s="5"/>
    </row>
    <row r="25" spans="1:6" x14ac:dyDescent="0.2">
      <c r="A25" s="5"/>
      <c r="B25" s="5"/>
      <c r="C25" s="5"/>
      <c r="D25" s="5"/>
      <c r="E25" s="5" t="str">
        <f t="shared" si="0"/>
        <v/>
      </c>
      <c r="F25" s="5"/>
    </row>
    <row r="26" spans="1:6" x14ac:dyDescent="0.2">
      <c r="A26" s="5"/>
      <c r="B26" s="5"/>
      <c r="C26" s="5"/>
      <c r="D26" s="5"/>
      <c r="E26" s="5" t="str">
        <f t="shared" si="0"/>
        <v/>
      </c>
      <c r="F26" s="5"/>
    </row>
    <row r="27" spans="1:6" x14ac:dyDescent="0.2">
      <c r="A27" s="5"/>
      <c r="B27" s="5"/>
      <c r="C27" s="5"/>
      <c r="D27" s="5"/>
      <c r="E27" s="5" t="str">
        <f t="shared" si="0"/>
        <v/>
      </c>
      <c r="F27" s="5"/>
    </row>
    <row r="28" spans="1:6" x14ac:dyDescent="0.2">
      <c r="A28" s="5"/>
      <c r="B28" s="5"/>
      <c r="C28" s="5"/>
      <c r="D28" s="5"/>
      <c r="E28" s="5" t="str">
        <f t="shared" si="0"/>
        <v/>
      </c>
      <c r="F28" s="5"/>
    </row>
    <row r="29" spans="1:6" x14ac:dyDescent="0.2">
      <c r="A29" s="5"/>
      <c r="B29" s="5"/>
      <c r="C29" s="5"/>
      <c r="D29" s="5"/>
      <c r="E29" s="5" t="str">
        <f t="shared" si="0"/>
        <v/>
      </c>
      <c r="F29" s="5"/>
    </row>
    <row r="30" spans="1:6" x14ac:dyDescent="0.2">
      <c r="A30" s="5"/>
      <c r="B30" s="5"/>
      <c r="C30" s="5"/>
      <c r="D30" s="5"/>
      <c r="E30" s="5" t="str">
        <f t="shared" si="0"/>
        <v/>
      </c>
      <c r="F30" s="5"/>
    </row>
    <row r="31" spans="1:6" x14ac:dyDescent="0.2">
      <c r="A31" s="5"/>
      <c r="B31" s="5"/>
      <c r="C31" s="5"/>
      <c r="D31" s="5"/>
      <c r="E31" s="5" t="str">
        <f t="shared" ref="E31:E47" si="1">IF(D31&gt;C31,(D31-C31)/OneMinute,"")</f>
        <v/>
      </c>
      <c r="F31" s="5"/>
    </row>
    <row r="32" spans="1:6" x14ac:dyDescent="0.2">
      <c r="A32" s="5"/>
      <c r="B32" s="5"/>
      <c r="C32" s="5"/>
      <c r="D32" s="5"/>
      <c r="E32" s="5" t="str">
        <f t="shared" si="1"/>
        <v/>
      </c>
      <c r="F32" s="5"/>
    </row>
    <row r="33" spans="1:6" x14ac:dyDescent="0.2">
      <c r="A33" s="5"/>
      <c r="B33" s="5"/>
      <c r="C33" s="5"/>
      <c r="D33" s="5"/>
      <c r="E33" s="5" t="str">
        <f t="shared" si="1"/>
        <v/>
      </c>
      <c r="F33" s="5"/>
    </row>
    <row r="34" spans="1:6" x14ac:dyDescent="0.2">
      <c r="A34" s="5"/>
      <c r="B34" s="5"/>
      <c r="C34" s="5"/>
      <c r="D34" s="5"/>
      <c r="E34" s="5" t="str">
        <f t="shared" si="1"/>
        <v/>
      </c>
      <c r="F34" s="5"/>
    </row>
    <row r="35" spans="1:6" x14ac:dyDescent="0.2">
      <c r="A35" s="5"/>
      <c r="B35" s="5"/>
      <c r="C35" s="5"/>
      <c r="D35" s="5"/>
      <c r="E35" s="5" t="str">
        <f t="shared" si="1"/>
        <v/>
      </c>
      <c r="F35" s="5"/>
    </row>
    <row r="36" spans="1:6" x14ac:dyDescent="0.2">
      <c r="A36" s="5"/>
      <c r="B36" s="5"/>
      <c r="C36" s="5"/>
      <c r="D36" s="5"/>
      <c r="E36" s="5" t="str">
        <f t="shared" si="1"/>
        <v/>
      </c>
      <c r="F36" s="5"/>
    </row>
    <row r="37" spans="1:6" x14ac:dyDescent="0.2">
      <c r="A37" s="5"/>
      <c r="B37" s="5"/>
      <c r="C37" s="5"/>
      <c r="D37" s="5"/>
      <c r="E37" s="5" t="str">
        <f t="shared" si="1"/>
        <v/>
      </c>
      <c r="F37" s="5"/>
    </row>
    <row r="38" spans="1:6" x14ac:dyDescent="0.2">
      <c r="A38" s="5"/>
      <c r="B38" s="5"/>
      <c r="C38" s="5"/>
      <c r="D38" s="5"/>
      <c r="E38" s="5" t="str">
        <f t="shared" si="1"/>
        <v/>
      </c>
      <c r="F38" s="5"/>
    </row>
    <row r="39" spans="1:6" x14ac:dyDescent="0.2">
      <c r="A39" s="5"/>
      <c r="B39" s="5"/>
      <c r="C39" s="5"/>
      <c r="D39" s="5"/>
      <c r="E39" s="5" t="str">
        <f t="shared" si="1"/>
        <v/>
      </c>
      <c r="F39" s="5"/>
    </row>
    <row r="40" spans="1:6" x14ac:dyDescent="0.2">
      <c r="A40" s="5"/>
      <c r="B40" s="5"/>
      <c r="C40" s="5"/>
      <c r="D40" s="5"/>
      <c r="E40" s="5" t="str">
        <f t="shared" si="1"/>
        <v/>
      </c>
      <c r="F40" s="5"/>
    </row>
    <row r="41" spans="1:6" x14ac:dyDescent="0.2">
      <c r="A41" s="5"/>
      <c r="B41" s="5"/>
      <c r="C41" s="5"/>
      <c r="D41" s="5"/>
      <c r="E41" s="5" t="str">
        <f t="shared" si="1"/>
        <v/>
      </c>
      <c r="F41" s="5"/>
    </row>
    <row r="42" spans="1:6" x14ac:dyDescent="0.2">
      <c r="A42" s="5"/>
      <c r="B42" s="5"/>
      <c r="C42" s="5"/>
      <c r="D42" s="5"/>
      <c r="E42" s="5" t="str">
        <f t="shared" si="1"/>
        <v/>
      </c>
      <c r="F42" s="5"/>
    </row>
    <row r="43" spans="1:6" x14ac:dyDescent="0.2">
      <c r="A43" s="5"/>
      <c r="B43" s="5"/>
      <c r="C43" s="5"/>
      <c r="D43" s="5"/>
      <c r="E43" s="5" t="str">
        <f t="shared" si="1"/>
        <v/>
      </c>
      <c r="F43" s="5"/>
    </row>
    <row r="44" spans="1:6" x14ac:dyDescent="0.2">
      <c r="A44" s="5"/>
      <c r="B44" s="5"/>
      <c r="C44" s="5"/>
      <c r="D44" s="5"/>
      <c r="E44" s="5" t="str">
        <f t="shared" si="1"/>
        <v/>
      </c>
      <c r="F44" s="5"/>
    </row>
    <row r="45" spans="1:6" x14ac:dyDescent="0.2">
      <c r="A45" s="5"/>
      <c r="B45" s="5"/>
      <c r="C45" s="5"/>
      <c r="D45" s="5"/>
      <c r="E45" s="5" t="str">
        <f t="shared" si="1"/>
        <v/>
      </c>
      <c r="F45" s="5"/>
    </row>
    <row r="46" spans="1:6" x14ac:dyDescent="0.2">
      <c r="A46" s="5"/>
      <c r="B46" s="5"/>
      <c r="C46" s="5"/>
      <c r="D46" s="5"/>
      <c r="E46" s="5" t="str">
        <f t="shared" si="1"/>
        <v/>
      </c>
      <c r="F46" s="5"/>
    </row>
    <row r="47" spans="1:6" x14ac:dyDescent="0.2">
      <c r="A47" s="5"/>
      <c r="B47" s="5"/>
      <c r="C47" s="5"/>
      <c r="D47" s="5"/>
      <c r="E47" s="5" t="str">
        <f t="shared" si="1"/>
        <v/>
      </c>
      <c r="F47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H23"/>
  <sheetViews>
    <sheetView tabSelected="1" workbookViewId="0">
      <selection activeCell="I16" sqref="I16"/>
    </sheetView>
  </sheetViews>
  <sheetFormatPr defaultRowHeight="14.25" x14ac:dyDescent="0.2"/>
  <cols>
    <col min="1" max="1" width="15.625" style="9" bestFit="1" customWidth="1"/>
    <col min="6" max="6" width="11.375" customWidth="1"/>
    <col min="8" max="8" width="15.875" customWidth="1"/>
  </cols>
  <sheetData>
    <row r="1" spans="1:8" s="4" customFormat="1" x14ac:dyDescent="0.2">
      <c r="A1" s="7" t="s">
        <v>19</v>
      </c>
      <c r="B1" s="7" t="s">
        <v>24</v>
      </c>
      <c r="C1" s="7" t="s">
        <v>25</v>
      </c>
      <c r="D1" s="24" t="s">
        <v>57</v>
      </c>
      <c r="E1" s="7" t="s">
        <v>26</v>
      </c>
      <c r="F1" s="7" t="s">
        <v>27</v>
      </c>
      <c r="H1" s="28" t="s">
        <v>56</v>
      </c>
    </row>
    <row r="2" spans="1:8" x14ac:dyDescent="0.2">
      <c r="A2" s="10" t="str">
        <f>'Process Description'!B6</f>
        <v>Plan</v>
      </c>
      <c r="B2" s="5">
        <v>5</v>
      </c>
      <c r="C2" s="5">
        <v>1.2499999988358468</v>
      </c>
      <c r="D2" s="5">
        <v>4</v>
      </c>
      <c r="E2" s="5">
        <f>C2+H2</f>
        <v>5.2499999988358468</v>
      </c>
      <c r="F2" s="23">
        <f>E2/$E$7</f>
        <v>5.336271481636326E-2</v>
      </c>
      <c r="H2" s="27">
        <v>4</v>
      </c>
    </row>
    <row r="3" spans="1:8" x14ac:dyDescent="0.2">
      <c r="A3" s="10" t="str">
        <f>'Process Description'!B7</f>
        <v>Design</v>
      </c>
      <c r="B3" s="5">
        <v>5</v>
      </c>
      <c r="C3" s="5">
        <v>1.3666666718199849</v>
      </c>
      <c r="D3" s="5">
        <v>2.9166669999999999</v>
      </c>
      <c r="E3" s="5">
        <f t="shared" ref="E3:E5" si="0">C3+H3</f>
        <v>4.2833336718199853</v>
      </c>
      <c r="F3" s="23">
        <f t="shared" ref="F3:F5" si="1">E3/$E$7</f>
        <v>4.3537202522540938E-2</v>
      </c>
      <c r="H3" s="27">
        <v>2.9166669999999999</v>
      </c>
    </row>
    <row r="4" spans="1:8" x14ac:dyDescent="0.2">
      <c r="A4" s="10" t="str">
        <f>'Process Description'!B8</f>
        <v>Code</v>
      </c>
      <c r="B4" s="5">
        <v>50</v>
      </c>
      <c r="C4" s="5">
        <v>28.18333333125338</v>
      </c>
      <c r="D4" s="5">
        <v>58.749969999999998</v>
      </c>
      <c r="E4" s="5">
        <f t="shared" si="0"/>
        <v>86.93330333125337</v>
      </c>
      <c r="F4" s="23">
        <f t="shared" si="1"/>
        <v>0.88361849042642726</v>
      </c>
      <c r="H4" s="27">
        <v>58.749969999999998</v>
      </c>
    </row>
    <row r="5" spans="1:8" x14ac:dyDescent="0.2">
      <c r="A5" s="10" t="str">
        <f>'Process Description'!B9</f>
        <v>Test</v>
      </c>
      <c r="B5" s="5">
        <v>5</v>
      </c>
      <c r="C5" s="5">
        <v>1.2833333399612457</v>
      </c>
      <c r="D5" s="5">
        <v>0.63332999999999995</v>
      </c>
      <c r="E5" s="5">
        <f t="shared" si="0"/>
        <v>1.9166633399612456</v>
      </c>
      <c r="F5" s="23">
        <f t="shared" si="1"/>
        <v>1.9481592234668534E-2</v>
      </c>
      <c r="H5" s="27">
        <v>0.63332999999999995</v>
      </c>
    </row>
    <row r="6" spans="1:8" x14ac:dyDescent="0.2">
      <c r="A6" s="10" t="str">
        <f>'Process Description'!B10</f>
        <v>Reflect</v>
      </c>
      <c r="B6" s="5"/>
      <c r="C6" s="5"/>
      <c r="D6" s="25"/>
      <c r="E6" s="5"/>
      <c r="F6" s="5"/>
    </row>
    <row r="7" spans="1:8" x14ac:dyDescent="0.2">
      <c r="A7" s="19" t="s">
        <v>23</v>
      </c>
      <c r="B7" s="22">
        <f>SUM(B2:B5)</f>
        <v>65</v>
      </c>
      <c r="C7" s="5">
        <f t="shared" ref="C7:F7" si="2">SUM(C2:C5)</f>
        <v>32.083333341870457</v>
      </c>
      <c r="D7" s="5">
        <f>SUM(D2:D5)</f>
        <v>66.299966999999995</v>
      </c>
      <c r="E7" s="5">
        <f t="shared" si="2"/>
        <v>98.383300341870452</v>
      </c>
      <c r="F7" s="23">
        <f t="shared" si="2"/>
        <v>1</v>
      </c>
    </row>
    <row r="9" spans="1:8" x14ac:dyDescent="0.2">
      <c r="A9" s="10" t="s">
        <v>29</v>
      </c>
      <c r="B9" s="8"/>
      <c r="C9" s="10" t="s">
        <v>25</v>
      </c>
      <c r="D9" s="10" t="s">
        <v>57</v>
      </c>
      <c r="E9" s="10" t="s">
        <v>26</v>
      </c>
      <c r="F9" s="10" t="s">
        <v>27</v>
      </c>
    </row>
    <row r="10" spans="1:8" x14ac:dyDescent="0.2">
      <c r="A10" s="10" t="str">
        <f t="shared" ref="A10:A14" si="3">A2</f>
        <v>Plan</v>
      </c>
      <c r="B10" s="5"/>
      <c r="C10" s="5">
        <v>0</v>
      </c>
      <c r="D10" s="5">
        <v>0</v>
      </c>
      <c r="E10" s="5">
        <v>0</v>
      </c>
      <c r="F10" s="23">
        <f>E10/$E$15</f>
        <v>0</v>
      </c>
    </row>
    <row r="11" spans="1:8" x14ac:dyDescent="0.2">
      <c r="A11" s="10" t="str">
        <f t="shared" si="3"/>
        <v>Design</v>
      </c>
      <c r="B11" s="5"/>
      <c r="C11" s="5">
        <v>0</v>
      </c>
      <c r="D11" s="5">
        <v>0</v>
      </c>
      <c r="E11" s="5">
        <v>0</v>
      </c>
      <c r="F11" s="23">
        <f t="shared" ref="F11:F14" si="4">E11/$E$15</f>
        <v>0</v>
      </c>
    </row>
    <row r="12" spans="1:8" x14ac:dyDescent="0.2">
      <c r="A12" s="10" t="str">
        <f t="shared" si="3"/>
        <v>Code</v>
      </c>
      <c r="B12" s="5"/>
      <c r="C12" s="5">
        <v>0</v>
      </c>
      <c r="D12" s="5">
        <v>3.2</v>
      </c>
      <c r="E12" s="5">
        <v>3.2</v>
      </c>
      <c r="F12" s="23">
        <f t="shared" si="4"/>
        <v>1</v>
      </c>
    </row>
    <row r="13" spans="1:8" x14ac:dyDescent="0.2">
      <c r="A13" s="10" t="str">
        <f t="shared" si="3"/>
        <v>Test</v>
      </c>
      <c r="B13" s="5"/>
      <c r="C13" s="5">
        <v>0</v>
      </c>
      <c r="D13" s="5">
        <v>0</v>
      </c>
      <c r="E13" s="5">
        <v>0</v>
      </c>
      <c r="F13" s="23">
        <f t="shared" si="4"/>
        <v>0</v>
      </c>
    </row>
    <row r="14" spans="1:8" x14ac:dyDescent="0.2">
      <c r="A14" s="10" t="str">
        <f t="shared" si="3"/>
        <v>Reflect</v>
      </c>
      <c r="B14" s="5"/>
      <c r="C14" s="5">
        <v>0</v>
      </c>
      <c r="D14" s="5">
        <v>0</v>
      </c>
      <c r="E14" s="5">
        <v>0</v>
      </c>
      <c r="F14" s="23">
        <f t="shared" si="4"/>
        <v>0</v>
      </c>
    </row>
    <row r="15" spans="1:8" x14ac:dyDescent="0.2">
      <c r="A15" s="19" t="s">
        <v>23</v>
      </c>
      <c r="B15" s="5"/>
      <c r="C15" s="5">
        <v>0</v>
      </c>
      <c r="D15" s="5">
        <f>SUM(D10:D14)</f>
        <v>3.2</v>
      </c>
      <c r="E15" s="5">
        <f>SUM(E10:E14)</f>
        <v>3.2</v>
      </c>
      <c r="F15" s="23">
        <f>SUM(F10:F14)</f>
        <v>1</v>
      </c>
    </row>
    <row r="16" spans="1:8" x14ac:dyDescent="0.2">
      <c r="C16" s="26"/>
    </row>
    <row r="17" spans="1:6" x14ac:dyDescent="0.2">
      <c r="A17" s="10" t="s">
        <v>28</v>
      </c>
      <c r="B17" s="8"/>
      <c r="C17" s="10" t="s">
        <v>25</v>
      </c>
      <c r="D17" s="10" t="s">
        <v>57</v>
      </c>
      <c r="E17" s="10" t="s">
        <v>26</v>
      </c>
      <c r="F17" s="10" t="s">
        <v>27</v>
      </c>
    </row>
    <row r="18" spans="1:6" x14ac:dyDescent="0.2">
      <c r="A18" s="10" t="str">
        <f t="shared" ref="A18:A22" si="5">A10</f>
        <v>Plan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</row>
    <row r="19" spans="1:6" x14ac:dyDescent="0.2">
      <c r="A19" s="10" t="str">
        <f t="shared" si="5"/>
        <v>Design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</row>
    <row r="20" spans="1:6" x14ac:dyDescent="0.2">
      <c r="A20" s="10" t="str">
        <f t="shared" si="5"/>
        <v>Code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</row>
    <row r="21" spans="1:6" x14ac:dyDescent="0.2">
      <c r="A21" s="10" t="str">
        <f t="shared" si="5"/>
        <v>Test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</row>
    <row r="22" spans="1:6" x14ac:dyDescent="0.2">
      <c r="A22" s="10" t="str">
        <f t="shared" si="5"/>
        <v>Reflect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</row>
    <row r="23" spans="1:6" x14ac:dyDescent="0.2">
      <c r="A23" s="19" t="s">
        <v>23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G2" sqref="G2"/>
    </sheetView>
  </sheetViews>
  <sheetFormatPr defaultRowHeight="14.25" x14ac:dyDescent="0.2"/>
  <cols>
    <col min="1" max="1" width="3.625" bestFit="1" customWidth="1"/>
    <col min="2" max="2" width="11.625" bestFit="1" customWidth="1"/>
    <col min="3" max="3" width="6" bestFit="1" customWidth="1"/>
    <col min="4" max="4" width="8.25" bestFit="1" customWidth="1"/>
    <col min="5" max="5" width="8.375" bestFit="1" customWidth="1"/>
    <col min="6" max="6" width="7" bestFit="1" customWidth="1"/>
    <col min="7" max="7" width="38.625" customWidth="1"/>
  </cols>
  <sheetData>
    <row r="1" spans="1:7" s="4" customFormat="1" x14ac:dyDescent="0.2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  <c r="G1" s="7" t="s">
        <v>13</v>
      </c>
    </row>
    <row r="2" spans="1:7" x14ac:dyDescent="0.2">
      <c r="A2" s="5"/>
      <c r="B2" s="5"/>
      <c r="C2" s="5"/>
      <c r="D2" s="5"/>
      <c r="E2" s="5"/>
      <c r="F2" s="5"/>
      <c r="G2" s="5"/>
    </row>
    <row r="3" spans="1:7" x14ac:dyDescent="0.2">
      <c r="A3" s="5"/>
      <c r="B3" s="5"/>
      <c r="C3" s="5"/>
      <c r="D3" s="5"/>
      <c r="E3" s="5"/>
      <c r="F3" s="5"/>
      <c r="G3" s="5"/>
    </row>
    <row r="4" spans="1:7" x14ac:dyDescent="0.2">
      <c r="A4" s="5"/>
      <c r="B4" s="5"/>
      <c r="C4" s="5"/>
      <c r="D4" s="5"/>
      <c r="E4" s="5"/>
      <c r="F4" s="5"/>
      <c r="G4" s="5"/>
    </row>
    <row r="5" spans="1:7" x14ac:dyDescent="0.2">
      <c r="A5" s="5"/>
      <c r="B5" s="5"/>
      <c r="C5" s="5"/>
      <c r="D5" s="5"/>
      <c r="E5" s="5"/>
      <c r="F5" s="5"/>
      <c r="G5" s="5"/>
    </row>
    <row r="6" spans="1:7" x14ac:dyDescent="0.2">
      <c r="A6" s="5"/>
      <c r="B6" s="5"/>
      <c r="C6" s="5"/>
      <c r="D6" s="5"/>
      <c r="E6" s="5"/>
      <c r="F6" s="5"/>
      <c r="G6" s="5"/>
    </row>
    <row r="7" spans="1:7" x14ac:dyDescent="0.2">
      <c r="A7" s="5"/>
      <c r="B7" s="5"/>
      <c r="C7" s="5"/>
      <c r="D7" s="5"/>
      <c r="E7" s="5"/>
      <c r="F7" s="5"/>
      <c r="G7" s="5"/>
    </row>
    <row r="8" spans="1:7" x14ac:dyDescent="0.2">
      <c r="A8" s="5"/>
      <c r="B8" s="5"/>
      <c r="C8" s="5"/>
      <c r="D8" s="5"/>
      <c r="E8" s="5"/>
      <c r="F8" s="5"/>
      <c r="G8" s="5"/>
    </row>
    <row r="9" spans="1:7" x14ac:dyDescent="0.2">
      <c r="A9" s="5"/>
      <c r="B9" s="5"/>
      <c r="C9" s="5"/>
      <c r="D9" s="5"/>
      <c r="E9" s="5"/>
      <c r="F9" s="5"/>
      <c r="G9" s="5"/>
    </row>
    <row r="10" spans="1:7" x14ac:dyDescent="0.2">
      <c r="A10" s="5"/>
      <c r="B10" s="5"/>
      <c r="C10" s="5"/>
      <c r="D10" s="5"/>
      <c r="E10" s="5"/>
      <c r="F10" s="5"/>
      <c r="G10" s="5"/>
    </row>
    <row r="11" spans="1:7" x14ac:dyDescent="0.2">
      <c r="A11" s="5"/>
      <c r="B11" s="5"/>
      <c r="C11" s="5"/>
      <c r="D11" s="5"/>
      <c r="E11" s="5"/>
      <c r="F11" s="5"/>
      <c r="G11" s="5"/>
    </row>
    <row r="12" spans="1:7" x14ac:dyDescent="0.2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D24" sqref="D24"/>
    </sheetView>
  </sheetViews>
  <sheetFormatPr defaultRowHeight="14.25" x14ac:dyDescent="0.2"/>
  <cols>
    <col min="1" max="1" width="4.125" bestFit="1" customWidth="1"/>
    <col min="2" max="4" width="36.25" customWidth="1"/>
  </cols>
  <sheetData>
    <row r="1" spans="1:4" s="9" customFormat="1" x14ac:dyDescent="0.2">
      <c r="A1" s="10" t="s">
        <v>30</v>
      </c>
      <c r="B1" s="10" t="s">
        <v>31</v>
      </c>
      <c r="C1" s="10" t="s">
        <v>32</v>
      </c>
      <c r="D1" s="10" t="s">
        <v>6</v>
      </c>
    </row>
    <row r="2" spans="1:4" x14ac:dyDescent="0.2">
      <c r="A2" s="11">
        <v>1</v>
      </c>
      <c r="B2" s="11" t="s">
        <v>52</v>
      </c>
      <c r="C2" s="11" t="s">
        <v>53</v>
      </c>
      <c r="D2" s="11" t="s">
        <v>54</v>
      </c>
    </row>
    <row r="3" spans="1:4" x14ac:dyDescent="0.2">
      <c r="A3" s="11"/>
      <c r="B3" s="11"/>
      <c r="C3" s="11"/>
      <c r="D3" s="11"/>
    </row>
    <row r="4" spans="1:4" x14ac:dyDescent="0.2">
      <c r="A4" s="11"/>
      <c r="B4" s="11"/>
      <c r="C4" s="11"/>
      <c r="D4" s="11"/>
    </row>
    <row r="5" spans="1:4" x14ac:dyDescent="0.2">
      <c r="A5" s="11"/>
      <c r="B5" s="11"/>
      <c r="C5" s="11"/>
      <c r="D5" s="11"/>
    </row>
    <row r="6" spans="1:4" x14ac:dyDescent="0.2">
      <c r="A6" s="11"/>
      <c r="B6" s="11"/>
      <c r="C6" s="11"/>
      <c r="D6" s="11"/>
    </row>
    <row r="7" spans="1:4" x14ac:dyDescent="0.2">
      <c r="A7" s="11"/>
      <c r="B7" s="11"/>
      <c r="C7" s="11"/>
      <c r="D7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B1" sqref="B1"/>
    </sheetView>
  </sheetViews>
  <sheetFormatPr defaultRowHeight="14.25" x14ac:dyDescent="0.2"/>
  <cols>
    <col min="5" max="5" width="18.25" bestFit="1" customWidth="1"/>
  </cols>
  <sheetData>
    <row r="1" spans="1:5" x14ac:dyDescent="0.2">
      <c r="A1" t="s">
        <v>0</v>
      </c>
      <c r="B1" s="3">
        <v>6.9444444444444447E-4</v>
      </c>
      <c r="E1" s="1"/>
    </row>
    <row r="2" spans="1:5" x14ac:dyDescent="0.2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dimension ref="A1:C2"/>
  <sheetViews>
    <sheetView workbookViewId="0">
      <selection activeCell="D39" sqref="D39"/>
    </sheetView>
  </sheetViews>
  <sheetFormatPr defaultRowHeight="14.25" x14ac:dyDescent="0.2"/>
  <cols>
    <col min="1" max="1" width="8.75" bestFit="1" customWidth="1"/>
    <col min="2" max="2" width="10.875" bestFit="1" customWidth="1"/>
    <col min="3" max="3" width="11.125" bestFit="1" customWidth="1"/>
  </cols>
  <sheetData>
    <row r="1" spans="1:3" x14ac:dyDescent="0.2">
      <c r="A1" s="12" t="s">
        <v>33</v>
      </c>
      <c r="B1" s="13" t="s">
        <v>16</v>
      </c>
      <c r="C1" s="14" t="s">
        <v>13</v>
      </c>
    </row>
    <row r="2" spans="1:3" x14ac:dyDescent="0.2">
      <c r="A2" s="15">
        <v>1</v>
      </c>
      <c r="B2" s="16">
        <v>44008</v>
      </c>
      <c r="C2" s="17" t="s">
        <v>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50DA7474EC5488F93C2E32F0DFEB8" ma:contentTypeVersion="0" ma:contentTypeDescription="Create a new document." ma:contentTypeScope="" ma:versionID="df57151598b484462a89963fe2e3132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3BBA3EE-24AB-4545-9405-3E48681AD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8</vt:i4>
      </vt:variant>
      <vt:variant>
        <vt:lpstr>ช่วงที่มีชื่อ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Auto</cp:lastModifiedBy>
  <dcterms:created xsi:type="dcterms:W3CDTF">2020-06-24T14:08:00Z</dcterms:created>
  <dcterms:modified xsi:type="dcterms:W3CDTF">2021-05-06T15:28:52Z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